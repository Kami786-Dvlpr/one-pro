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0F6DCED2-17AC-4356-A3D3-81B1A28A60A5}" xr6:coauthVersionLast="47" xr6:coauthVersionMax="47" xr10:uidLastSave="{00000000-0000-0000-0000-000000000000}"/>
  <bookViews>
    <workbookView xWindow="21150" yWindow="0" windowWidth="19005" windowHeight="11070" xr2:uid="{00000000-000D-0000-FFFF-FFFF00000000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2" i="1" a="1"/>
  <c r="L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2" i="1" a="1"/>
  <c r="I2" i="1" s="1"/>
  <c r="E22" i="1" a="1"/>
  <c r="D22" i="1" a="1"/>
  <c r="C22" i="1" a="1"/>
  <c r="B22" i="1" a="1"/>
  <c r="B22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A22" i="1" s="1"/>
  <c r="F16" i="1"/>
  <c r="F17" i="1"/>
  <c r="F18" i="1"/>
  <c r="F19" i="1"/>
  <c r="D22" i="1" l="1"/>
  <c r="C22" i="1"/>
  <c r="E22" i="1"/>
</calcChain>
</file>

<file path=xl/sharedStrings.xml><?xml version="1.0" encoding="utf-8"?>
<sst xmlns="http://schemas.openxmlformats.org/spreadsheetml/2006/main" count="78" uniqueCount="23">
  <si>
    <t>Month</t>
  </si>
  <si>
    <t>Product</t>
  </si>
  <si>
    <t>Category</t>
  </si>
  <si>
    <t>Units Sold</t>
  </si>
  <si>
    <t>Unit Price</t>
  </si>
  <si>
    <t>Total Sales</t>
  </si>
  <si>
    <t>January</t>
  </si>
  <si>
    <t>Shoes</t>
  </si>
  <si>
    <t>Footwear</t>
  </si>
  <si>
    <t>Shirts</t>
  </si>
  <si>
    <t>Clothing</t>
  </si>
  <si>
    <t>Watches</t>
  </si>
  <si>
    <t>Accessories</t>
  </si>
  <si>
    <t>February</t>
  </si>
  <si>
    <t>March</t>
  </si>
  <si>
    <t>April</t>
  </si>
  <si>
    <t>May</t>
  </si>
  <si>
    <t>June</t>
  </si>
  <si>
    <t>Total Revenue</t>
  </si>
  <si>
    <t>Average Sale</t>
  </si>
  <si>
    <t>Highest Sale</t>
  </si>
  <si>
    <t>Lowest Sale</t>
  </si>
  <si>
    <t>Total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</si>
</sst>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5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Dashboard!$H$2:$H$7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Dashboard!$I$2:$I$7</c:f>
              <c:numCache>
                <c:formatCode>General</c:formatCode>
                <c:ptCount val="6"/>
                <c:pt idx="0">
                  <c:v>6850</c:v>
                </c:pt>
                <c:pt idx="1">
                  <c:v>7250</c:v>
                </c:pt>
                <c:pt idx="2">
                  <c:v>9150</c:v>
                </c:pt>
                <c:pt idx="3">
                  <c:v>10400</c:v>
                </c:pt>
                <c:pt idx="4">
                  <c:v>9700</c:v>
                </c:pt>
                <c:pt idx="5">
                  <c:v>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B-4967-9B23-05C4CEDDB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4621663"/>
        <c:axId val="1884621183"/>
      </c:barChart>
      <c:catAx>
        <c:axId val="188462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21183"/>
        <c:crosses val="autoZero"/>
        <c:auto val="1"/>
        <c:lblAlgn val="ctr"/>
        <c:lblOffset val="100"/>
        <c:noMultiLvlLbl val="0"/>
      </c:catAx>
      <c:valAx>
        <c:axId val="18846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2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Dashboard!$K$2:$K$4</c:f>
              <c:strCache>
                <c:ptCount val="3"/>
                <c:pt idx="0">
                  <c:v>Shoes</c:v>
                </c:pt>
                <c:pt idx="1">
                  <c:v>Shirts</c:v>
                </c:pt>
                <c:pt idx="2">
                  <c:v>Watches</c:v>
                </c:pt>
              </c:strCache>
            </c:strRef>
          </c:cat>
          <c:val>
            <c:numRef>
              <c:f>Dashboard!$L$2:$L$4</c:f>
              <c:numCache>
                <c:formatCode>General</c:formatCode>
                <c:ptCount val="3"/>
                <c:pt idx="0">
                  <c:v>24500</c:v>
                </c:pt>
                <c:pt idx="1">
                  <c:v>12200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B-488F-B75C-E406521A3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7</xdr:row>
      <xdr:rowOff>52387</xdr:rowOff>
    </xdr:from>
    <xdr:to>
      <xdr:col>9</xdr:col>
      <xdr:colOff>990600</xdr:colOff>
      <xdr:row>15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83F51-50E9-A679-AAE3-1FF0C7B9B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1004887</xdr:colOff>
      <xdr:row>4</xdr:row>
      <xdr:rowOff>100012</xdr:rowOff>
    </xdr:from>
    <xdr:to>
      <xdr:col>12</xdr:col>
      <xdr:colOff>876300</xdr:colOff>
      <xdr:row>10</xdr:row>
      <xdr:rowOff>247650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CA16D-6B36-0707-B7E7-8A961719A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595312</xdr:colOff>
      <xdr:row>21</xdr:row>
      <xdr:rowOff>261937</xdr:rowOff>
    </xdr:from>
    <xdr:to>
      <xdr:col>11</xdr:col>
      <xdr:colOff>1019175</xdr:colOff>
      <xdr:row>23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525B03-752C-D2AD-5396-022C17022C2F}"/>
            </a:ext>
          </a:extLst>
        </xdr:cNvPr>
        <xdr:cNvSpPr txBox="1"/>
      </xdr:nvSpPr>
      <xdr:spPr>
        <a:xfrm>
          <a:off x="10567987" y="6262687"/>
          <a:ext cx="1462088" cy="309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 u="sng">
              <a:solidFill>
                <a:schemeClr val="accent1"/>
              </a:solidFill>
            </a:rPr>
            <a:t>Sales Dashboard 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2"/>
  <sheetViews>
    <sheetView tabSelected="1" topLeftCell="A13" zoomScale="115" zoomScaleNormal="115" workbookViewId="0">
      <selection activeCell="I32" sqref="I32"/>
    </sheetView>
  </sheetViews>
  <sheetFormatPr defaultColWidth="15.5703125" defaultRowHeight="22.5" customHeight="1" x14ac:dyDescent="0.25"/>
  <cols>
    <col min="1" max="1" width="13.85546875" bestFit="1" customWidth="1"/>
    <col min="2" max="2" width="12.42578125" bestFit="1" customWidth="1"/>
    <col min="3" max="3" width="11.85546875" bestFit="1" customWidth="1"/>
    <col min="4" max="4" width="11.42578125" bestFit="1" customWidth="1"/>
    <col min="5" max="5" width="17" bestFit="1" customWidth="1"/>
    <col min="6" max="6" width="10.42578125" bestFit="1" customWidth="1"/>
    <col min="7" max="7" width="18.5703125" bestFit="1" customWidth="1"/>
    <col min="8" max="8" width="22.8554687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5</v>
      </c>
      <c r="K1" s="1" t="s">
        <v>1</v>
      </c>
      <c r="L1" s="1" t="s">
        <v>5</v>
      </c>
    </row>
    <row r="2" spans="1:12" ht="22.5" customHeight="1" x14ac:dyDescent="0.25">
      <c r="A2" s="2" t="s">
        <v>6</v>
      </c>
      <c r="B2" s="2" t="s">
        <v>7</v>
      </c>
      <c r="C2" s="2" t="s">
        <v>8</v>
      </c>
      <c r="D2" s="2">
        <v>120</v>
      </c>
      <c r="E2" s="2">
        <v>25</v>
      </c>
      <c r="F2" s="2">
        <f>D2*E2</f>
        <v>3000</v>
      </c>
      <c r="H2" s="2" t="s">
        <v>6</v>
      </c>
      <c r="I2" s="2">
        <f t="array" ref="I2">SUMIF($A$2:$A$19,H2,$F$2:$F$19)</f>
        <v>6850</v>
      </c>
      <c r="K2" s="2" t="s">
        <v>7</v>
      </c>
      <c r="L2" s="2">
        <f t="array" ref="L2">SUMIF(B2:B19,K2,F2:F19)</f>
        <v>24500</v>
      </c>
    </row>
    <row r="3" spans="1:12" ht="22.5" customHeight="1" x14ac:dyDescent="0.25">
      <c r="A3" s="2" t="s">
        <v>6</v>
      </c>
      <c r="B3" s="2" t="s">
        <v>9</v>
      </c>
      <c r="C3" s="2" t="s">
        <v>10</v>
      </c>
      <c r="D3" s="2">
        <v>80</v>
      </c>
      <c r="E3" s="2">
        <v>20</v>
      </c>
      <c r="F3" s="2">
        <f>D3*E3</f>
        <v>1600</v>
      </c>
      <c r="H3" s="2" t="s">
        <v>13</v>
      </c>
      <c r="I3" s="2">
        <f t="array" ref="I3">SUMIF($A$2:$A$19,H3,$F$2:$F$19)</f>
        <v>7250</v>
      </c>
      <c r="K3" s="2" t="s">
        <v>9</v>
      </c>
      <c r="L3" s="2">
        <f t="array" ref="L3">SUMIF(B3:B20,K3,F3:F20)</f>
        <v>12200</v>
      </c>
    </row>
    <row r="4" spans="1:12" ht="22.5" customHeight="1" x14ac:dyDescent="0.25">
      <c r="A4" s="2" t="s">
        <v>6</v>
      </c>
      <c r="B4" s="2" t="s">
        <v>11</v>
      </c>
      <c r="C4" s="2" t="s">
        <v>12</v>
      </c>
      <c r="D4" s="2">
        <v>45</v>
      </c>
      <c r="E4" s="2">
        <v>50</v>
      </c>
      <c r="F4" s="2">
        <f>D4*E4</f>
        <v>2250</v>
      </c>
      <c r="H4" s="2" t="s">
        <v>14</v>
      </c>
      <c r="I4" s="2">
        <f t="array" ref="I4">SUMIF($A$2:$A$19,H4,$F$2:$F$19)</f>
        <v>9150</v>
      </c>
      <c r="K4" s="2" t="s">
        <v>11</v>
      </c>
      <c r="L4" s="2">
        <f t="array" ref="L4">SUMIF(B4:B21,K4,F4:F21)</f>
        <v>15000</v>
      </c>
    </row>
    <row r="5" spans="1:12" ht="22.5" customHeight="1" x14ac:dyDescent="0.25">
      <c r="A5" s="2" t="s">
        <v>13</v>
      </c>
      <c r="B5" s="2" t="s">
        <v>7</v>
      </c>
      <c r="C5" s="2" t="s">
        <v>8</v>
      </c>
      <c r="D5" s="2">
        <v>150</v>
      </c>
      <c r="E5" s="2">
        <v>25</v>
      </c>
      <c r="F5" s="2">
        <f>D5*E5</f>
        <v>3750</v>
      </c>
      <c r="H5" s="2" t="s">
        <v>15</v>
      </c>
      <c r="I5" s="2">
        <f t="array" ref="I5">SUMIF($A$2:$A$19,H5,$F$2:$F$19)</f>
        <v>10400</v>
      </c>
    </row>
    <row r="6" spans="1:12" ht="22.5" customHeight="1" x14ac:dyDescent="0.25">
      <c r="A6" s="2" t="s">
        <v>13</v>
      </c>
      <c r="B6" s="2" t="s">
        <v>9</v>
      </c>
      <c r="C6" s="2" t="s">
        <v>10</v>
      </c>
      <c r="D6" s="2">
        <v>100</v>
      </c>
      <c r="E6" s="2">
        <v>20</v>
      </c>
      <c r="F6" s="2">
        <f>D6*E6</f>
        <v>2000</v>
      </c>
      <c r="H6" s="2" t="s">
        <v>16</v>
      </c>
      <c r="I6" s="2">
        <f t="array" ref="I6">SUMIF($A$2:$A$19,H6,$F$2:$F$19)</f>
        <v>9700</v>
      </c>
    </row>
    <row r="7" spans="1:12" ht="22.5" customHeight="1" x14ac:dyDescent="0.25">
      <c r="A7" s="2" t="s">
        <v>13</v>
      </c>
      <c r="B7" s="2" t="s">
        <v>11</v>
      </c>
      <c r="C7" s="2" t="s">
        <v>12</v>
      </c>
      <c r="D7" s="2">
        <v>30</v>
      </c>
      <c r="E7" s="2">
        <v>50</v>
      </c>
      <c r="F7" s="2">
        <f>D7*E7</f>
        <v>1500</v>
      </c>
      <c r="H7" s="2" t="s">
        <v>17</v>
      </c>
      <c r="I7" s="2">
        <f t="array" ref="I7">SUMIF($A$2:$A$19,H7,$F$2:$F$19)</f>
        <v>8350</v>
      </c>
    </row>
    <row r="8" spans="1:12" ht="22.5" customHeight="1" x14ac:dyDescent="0.25">
      <c r="A8" s="2" t="s">
        <v>14</v>
      </c>
      <c r="B8" s="2" t="s">
        <v>7</v>
      </c>
      <c r="C8" s="2" t="s">
        <v>8</v>
      </c>
      <c r="D8" s="2">
        <v>180</v>
      </c>
      <c r="E8" s="2">
        <v>25</v>
      </c>
      <c r="F8" s="2">
        <f>D8*E8</f>
        <v>4500</v>
      </c>
    </row>
    <row r="9" spans="1:12" ht="22.5" customHeight="1" x14ac:dyDescent="0.25">
      <c r="A9" s="2" t="s">
        <v>14</v>
      </c>
      <c r="B9" s="2" t="s">
        <v>9</v>
      </c>
      <c r="C9" s="2" t="s">
        <v>10</v>
      </c>
      <c r="D9" s="2">
        <v>95</v>
      </c>
      <c r="E9" s="2">
        <v>20</v>
      </c>
      <c r="F9" s="2">
        <f>D9*E9</f>
        <v>1900</v>
      </c>
    </row>
    <row r="10" spans="1:12" ht="22.5" customHeight="1" x14ac:dyDescent="0.25">
      <c r="A10" s="2" t="s">
        <v>14</v>
      </c>
      <c r="B10" s="2" t="s">
        <v>11</v>
      </c>
      <c r="C10" s="2" t="s">
        <v>12</v>
      </c>
      <c r="D10" s="2">
        <v>55</v>
      </c>
      <c r="E10" s="2">
        <v>50</v>
      </c>
      <c r="F10" s="2">
        <f>D10*E10</f>
        <v>2750</v>
      </c>
    </row>
    <row r="11" spans="1:12" ht="22.5" customHeight="1" x14ac:dyDescent="0.25">
      <c r="A11" s="2" t="s">
        <v>15</v>
      </c>
      <c r="B11" s="2" t="s">
        <v>7</v>
      </c>
      <c r="C11" s="2" t="s">
        <v>8</v>
      </c>
      <c r="D11" s="2">
        <v>200</v>
      </c>
      <c r="E11" s="2">
        <v>25</v>
      </c>
      <c r="F11" s="2">
        <f>D11*E11</f>
        <v>5000</v>
      </c>
    </row>
    <row r="12" spans="1:12" ht="22.5" customHeight="1" x14ac:dyDescent="0.25">
      <c r="A12" s="2" t="s">
        <v>15</v>
      </c>
      <c r="B12" s="2" t="s">
        <v>9</v>
      </c>
      <c r="C12" s="2" t="s">
        <v>10</v>
      </c>
      <c r="D12" s="2">
        <v>120</v>
      </c>
      <c r="E12" s="2">
        <v>20</v>
      </c>
      <c r="F12" s="2">
        <f>D12*E12</f>
        <v>2400</v>
      </c>
    </row>
    <row r="13" spans="1:12" ht="22.5" customHeight="1" x14ac:dyDescent="0.25">
      <c r="A13" s="2" t="s">
        <v>15</v>
      </c>
      <c r="B13" s="2" t="s">
        <v>11</v>
      </c>
      <c r="C13" s="2" t="s">
        <v>12</v>
      </c>
      <c r="D13" s="2">
        <v>60</v>
      </c>
      <c r="E13" s="2">
        <v>50</v>
      </c>
      <c r="F13" s="2">
        <f>D13*E13</f>
        <v>3000</v>
      </c>
    </row>
    <row r="14" spans="1:12" ht="22.5" customHeight="1" x14ac:dyDescent="0.25">
      <c r="A14" s="2" t="s">
        <v>16</v>
      </c>
      <c r="B14" s="2" t="s">
        <v>7</v>
      </c>
      <c r="C14" s="2" t="s">
        <v>8</v>
      </c>
      <c r="D14" s="2">
        <v>160</v>
      </c>
      <c r="E14" s="2">
        <v>25</v>
      </c>
      <c r="F14" s="2">
        <f>D14*E14</f>
        <v>4000</v>
      </c>
    </row>
    <row r="15" spans="1:12" ht="22.5" customHeight="1" x14ac:dyDescent="0.25">
      <c r="A15" s="2" t="s">
        <v>16</v>
      </c>
      <c r="B15" s="2" t="s">
        <v>9</v>
      </c>
      <c r="C15" s="2" t="s">
        <v>10</v>
      </c>
      <c r="D15" s="2">
        <v>110</v>
      </c>
      <c r="E15" s="2">
        <v>20</v>
      </c>
      <c r="F15" s="2">
        <f>D15*E15</f>
        <v>2200</v>
      </c>
    </row>
    <row r="16" spans="1:12" ht="22.5" customHeight="1" x14ac:dyDescent="0.25">
      <c r="A16" s="2" t="s">
        <v>16</v>
      </c>
      <c r="B16" s="2" t="s">
        <v>11</v>
      </c>
      <c r="C16" s="2" t="s">
        <v>12</v>
      </c>
      <c r="D16" s="2">
        <v>70</v>
      </c>
      <c r="E16" s="2">
        <v>50</v>
      </c>
      <c r="F16" s="2">
        <f>D16*E16</f>
        <v>3500</v>
      </c>
    </row>
    <row r="17" spans="1:6" ht="22.5" customHeight="1" x14ac:dyDescent="0.25">
      <c r="A17" s="2" t="s">
        <v>17</v>
      </c>
      <c r="B17" s="2" t="s">
        <v>7</v>
      </c>
      <c r="C17" s="2" t="s">
        <v>8</v>
      </c>
      <c r="D17" s="2">
        <v>170</v>
      </c>
      <c r="E17" s="2">
        <v>25</v>
      </c>
      <c r="F17" s="2">
        <f>D17*E17</f>
        <v>4250</v>
      </c>
    </row>
    <row r="18" spans="1:6" ht="22.5" customHeight="1" x14ac:dyDescent="0.25">
      <c r="A18" s="2" t="s">
        <v>17</v>
      </c>
      <c r="B18" s="2" t="s">
        <v>9</v>
      </c>
      <c r="C18" s="2" t="s">
        <v>10</v>
      </c>
      <c r="D18" s="2">
        <v>105</v>
      </c>
      <c r="E18" s="2">
        <v>20</v>
      </c>
      <c r="F18" s="2">
        <f>D18*E18</f>
        <v>2100</v>
      </c>
    </row>
    <row r="19" spans="1:6" ht="22.5" customHeight="1" x14ac:dyDescent="0.25">
      <c r="A19" s="2" t="s">
        <v>17</v>
      </c>
      <c r="B19" s="2" t="s">
        <v>11</v>
      </c>
      <c r="C19" s="2" t="s">
        <v>12</v>
      </c>
      <c r="D19" s="2">
        <v>40</v>
      </c>
      <c r="E19" s="2">
        <v>50</v>
      </c>
      <c r="F19" s="2">
        <f>D19*E19</f>
        <v>2000</v>
      </c>
    </row>
    <row r="21" spans="1:6" ht="22.5" customHeight="1" x14ac:dyDescent="0.25">
      <c r="A21" s="1" t="s">
        <v>18</v>
      </c>
      <c r="B21" s="1" t="s">
        <v>19</v>
      </c>
      <c r="C21" s="1" t="s">
        <v>20</v>
      </c>
      <c r="D21" s="1" t="s">
        <v>21</v>
      </c>
      <c r="E21" s="1" t="s">
        <v>22</v>
      </c>
    </row>
    <row r="22" spans="1:6" ht="22.5" customHeight="1" x14ac:dyDescent="0.25">
      <c r="A22" s="2">
        <f>SUM(F2:F19)</f>
        <v>51700</v>
      </c>
      <c r="B22" s="2">
        <f t="array" ref="B22">AVERAGE(F2:F19)</f>
        <v>2872.2222222222222</v>
      </c>
      <c r="C22" s="2">
        <f t="array" ref="C22">MAX(F2:F19)</f>
        <v>5000</v>
      </c>
      <c r="D22" s="2">
        <f t="array" ref="D22">MIN(F2:F19)</f>
        <v>1500</v>
      </c>
      <c r="E22" s="2">
        <f t="array" ref="E22">COUNT(F2:F19)</f>
        <v>18</v>
      </c>
    </row>
  </sheetData>
  <phoneticPr fontId="2" type="noConversion"/>
  <conditionalFormatting sqref="F2:F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{1B972B94-2654-4190-8154-47C0E3EF5D39}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972B94-2654-4190-8154-47C0E3EF5D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M.Kamran</dc:creator>
  <cp:lastModifiedBy>M.Kamran</cp:lastModifiedBy>
  <cp:lastPrinted>2025-11-04T08:40:19Z</cp:lastPrinted>
  <dcterms:created xsi:type="dcterms:W3CDTF">2015-06-05T18:17:20Z</dcterms:created>
  <dcterms:modified xsi:type="dcterms:W3CDTF">2025-11-04T08:53:15Z</dcterms:modified>
</cp:coreProperties>
</file>